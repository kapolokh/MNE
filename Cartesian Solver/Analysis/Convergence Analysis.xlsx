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\\wsl.localhost\Ubuntu\home\kapolokh\MNE\MNE\Work\"/>
    </mc:Choice>
  </mc:AlternateContent>
  <xr:revisionPtr revIDLastSave="0" documentId="13_ncr:1_{7C7B9ABE-10BB-4178-93D8-55DF39692CF0}" xr6:coauthVersionLast="47" xr6:coauthVersionMax="47" xr10:uidLastSave="{00000000-0000-0000-0000-000000000000}"/>
  <bookViews>
    <workbookView xWindow="22932" yWindow="-7884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I22" i="1"/>
  <c r="J22" i="1"/>
  <c r="K22" i="1"/>
  <c r="L22" i="1"/>
  <c r="M22" i="1"/>
  <c r="I21" i="1"/>
  <c r="J21" i="1"/>
  <c r="K21" i="1"/>
  <c r="L21" i="1"/>
  <c r="M21" i="1"/>
  <c r="I20" i="1"/>
  <c r="J20" i="1"/>
  <c r="K20" i="1"/>
  <c r="L20" i="1"/>
  <c r="M20" i="1"/>
  <c r="I19" i="1"/>
  <c r="J19" i="1"/>
  <c r="K19" i="1"/>
  <c r="L19" i="1"/>
  <c r="M19" i="1"/>
  <c r="I18" i="1"/>
  <c r="J18" i="1"/>
  <c r="K18" i="1"/>
  <c r="L18" i="1"/>
  <c r="M18" i="1"/>
  <c r="I17" i="1"/>
  <c r="J17" i="1"/>
  <c r="K17" i="1"/>
  <c r="L17" i="1"/>
  <c r="M17" i="1"/>
  <c r="I16" i="1"/>
  <c r="J16" i="1"/>
  <c r="K16" i="1"/>
  <c r="L16" i="1"/>
  <c r="M16" i="1"/>
  <c r="H16" i="1"/>
  <c r="H17" i="1"/>
  <c r="H18" i="1"/>
  <c r="H19" i="1"/>
  <c r="H20" i="1"/>
  <c r="H21" i="1"/>
  <c r="H22" i="1"/>
  <c r="I15" i="1"/>
  <c r="J15" i="1"/>
  <c r="K15" i="1"/>
  <c r="L15" i="1"/>
  <c r="M15" i="1"/>
  <c r="H15" i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4" i="1" a="1"/>
  <c r="C4" i="1" s="1"/>
  <c r="H6" i="1"/>
  <c r="S3" i="1"/>
  <c r="T3" i="1"/>
  <c r="U3" i="1"/>
  <c r="V3" i="1"/>
  <c r="W3" i="1"/>
  <c r="R3" i="1"/>
  <c r="C3" i="1" a="1"/>
  <c r="C3" i="1" s="1"/>
  <c r="M11" i="1" l="1"/>
  <c r="M10" i="1"/>
  <c r="M4" i="1"/>
  <c r="M9" i="1"/>
  <c r="M8" i="1"/>
  <c r="M7" i="1"/>
  <c r="I9" i="1"/>
  <c r="M6" i="1"/>
  <c r="I8" i="1"/>
  <c r="M5" i="1"/>
  <c r="I5" i="1"/>
  <c r="K4" i="1"/>
  <c r="K11" i="1"/>
  <c r="K6" i="1"/>
  <c r="K5" i="1"/>
  <c r="I7" i="1"/>
  <c r="I6" i="1"/>
  <c r="K10" i="1"/>
  <c r="K9" i="1"/>
  <c r="K8" i="1"/>
  <c r="K7" i="1"/>
  <c r="I4" i="1"/>
  <c r="I11" i="1"/>
  <c r="S4" i="1" s="1"/>
  <c r="I10" i="1"/>
  <c r="H4" i="1"/>
  <c r="J4" i="1"/>
  <c r="L4" i="1"/>
  <c r="H11" i="1"/>
  <c r="J11" i="1"/>
  <c r="T4" i="1" s="1"/>
  <c r="L11" i="1"/>
  <c r="V4" i="1" s="1"/>
  <c r="H9" i="1"/>
  <c r="J9" i="1"/>
  <c r="L9" i="1"/>
  <c r="J10" i="1"/>
  <c r="H8" i="1"/>
  <c r="J8" i="1"/>
  <c r="L8" i="1"/>
  <c r="H7" i="1"/>
  <c r="J7" i="1"/>
  <c r="L7" i="1"/>
  <c r="L10" i="1"/>
  <c r="J6" i="1"/>
  <c r="L6" i="1"/>
  <c r="H10" i="1"/>
  <c r="H5" i="1"/>
  <c r="J5" i="1"/>
  <c r="L5" i="1"/>
  <c r="N4" i="1" l="1"/>
  <c r="AA4" i="1"/>
  <c r="U4" i="1"/>
  <c r="AA5" i="1"/>
  <c r="AA3" i="1"/>
  <c r="AA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<sst xmlns="http://schemas.openxmlformats.org/spreadsheetml/2006/main" count="84" uniqueCount="68">
  <si>
    <t>h Nsn keff</t>
  </si>
  <si>
    <t>1 2 1.0893563828</t>
  </si>
  <si>
    <t>1 4 1.0845195090</t>
  </si>
  <si>
    <t>1 6 1.0842402420</t>
  </si>
  <si>
    <t>1 8 1.0842178561</t>
  </si>
  <si>
    <t>1 12 1.0842472581</t>
  </si>
  <si>
    <t>1 16 1.0842632953</t>
  </si>
  <si>
    <t>2 2 1.0921065104</t>
  </si>
  <si>
    <t>2 4 1.0870389637</t>
  </si>
  <si>
    <t>2 6 1.0870318548</t>
  </si>
  <si>
    <t>2 8 1.0870555502</t>
  </si>
  <si>
    <t>2 12 1.0870075337</t>
  </si>
  <si>
    <t>2 16 1.0869691753</t>
  </si>
  <si>
    <t>4 2 1.0920387225</t>
  </si>
  <si>
    <t>4 4 1.0873422672</t>
  </si>
  <si>
    <t>4 6 1.0872231081</t>
  </si>
  <si>
    <t>4 8 1.0871978139</t>
  </si>
  <si>
    <t>4 12 1.0871651749</t>
  </si>
  <si>
    <t>4 16 1.0871499534</t>
  </si>
  <si>
    <t>8 2 1.0920153938</t>
  </si>
  <si>
    <t>8 4 1.0874679180</t>
  </si>
  <si>
    <t>8 6 1.0873356855</t>
  </si>
  <si>
    <t>8 8 1.0872848352</t>
  </si>
  <si>
    <t>8 12 1.0872373016</t>
  </si>
  <si>
    <t>8 16 1.0872226666</t>
  </si>
  <si>
    <t>h=2</t>
  </si>
  <si>
    <t>h=4</t>
  </si>
  <si>
    <t>h=8</t>
  </si>
  <si>
    <t>h=1</t>
  </si>
  <si>
    <t>S_2</t>
  </si>
  <si>
    <t>S_6</t>
  </si>
  <si>
    <t>S_8</t>
  </si>
  <si>
    <t>S_12</t>
  </si>
  <si>
    <t>S_16</t>
  </si>
  <si>
    <t>S_4</t>
  </si>
  <si>
    <t>S_10</t>
  </si>
  <si>
    <t>S_14</t>
  </si>
  <si>
    <t>16 8 1.0873078722</t>
  </si>
  <si>
    <t>h=16</t>
  </si>
  <si>
    <t>1 10 1.0842429328</t>
  </si>
  <si>
    <t>1 14 1.0842607570</t>
  </si>
  <si>
    <t>2 10 1.0870339959</t>
  </si>
  <si>
    <t>2 14 1.0869859442</t>
  </si>
  <si>
    <t>4 10 1.0871785208</t>
  </si>
  <si>
    <t>4 14 1.0871565375</t>
  </si>
  <si>
    <t>h</t>
  </si>
  <si>
    <t>p</t>
  </si>
  <si>
    <t>8 10 1.0872547740</t>
  </si>
  <si>
    <t>8 14 1.0872283250</t>
  </si>
  <si>
    <t>16 2 1.0920076549</t>
  </si>
  <si>
    <t>16 4 1.0874925226</t>
  </si>
  <si>
    <t>16 6 1.0873553970</t>
  </si>
  <si>
    <t>16 10 1.0872791286</t>
  </si>
  <si>
    <t>16 12 1.0872609724</t>
  </si>
  <si>
    <t>16 14 1.0872508597</t>
  </si>
  <si>
    <t>16 16 1.0872447605</t>
  </si>
  <si>
    <t>32 2 1.0920055108</t>
  </si>
  <si>
    <t>32 4 1.0874981952</t>
  </si>
  <si>
    <t>32 6 1.0873606528</t>
  </si>
  <si>
    <t>32 8 1.0873135679</t>
  </si>
  <si>
    <t>32 10 1.0872846746</t>
  </si>
  <si>
    <t>32 12 1.0872665309</t>
  </si>
  <si>
    <t>32 14 1.0872566666</t>
  </si>
  <si>
    <t>32 16 1.0872507027</t>
  </si>
  <si>
    <t>h=32</t>
  </si>
  <si>
    <t>Error</t>
  </si>
  <si>
    <t>1\h</t>
  </si>
  <si>
    <t>k_ref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</si>
</sst>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.0000000"/>
    <numFmt numFmtId="173" formatCode="0.000"/>
    <numFmt numFmtId="175" formatCode="0.0000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3" xfId="0" applyBorder="1"/>
    <xf numFmtId="0" fontId="0" fillId="2" borderId="4" xfId="0" applyFill="1" applyBorder="1"/>
    <xf numFmtId="0" fontId="0" fillId="2" borderId="2" xfId="0" applyFill="1" applyBorder="1"/>
    <xf numFmtId="173" fontId="0" fillId="0" borderId="0" xfId="0" applyNumberFormat="1"/>
    <xf numFmtId="175" fontId="0" fillId="0" borderId="0" xfId="0" applyNumberFormat="1"/>
    <xf numFmtId="172" fontId="0" fillId="0" borderId="1" xfId="0" applyNumberFormat="1" applyBorder="1" applyAlignment="1">
      <alignment horizontal="center"/>
    </xf>
    <xf numFmtId="172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Absolute  Error vs. Cell_size Reciprocal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Abs Error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1055870853827721"/>
                  <c:y val="0.456091753584462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Sheet1!$R$3:$W$3</c:f>
              <c:numCache>
                <c:formatCode>General</c:formatCode>
                <c:ptCount val="6"/>
                <c:pt idx="0">
                  <c:v>1</c:v>
                </c:pt>
                <c:pt idx="1">
                  <c:v>0.5</c:v>
                </c:pt>
                <c:pt idx="2">
                  <c:v>0.25</c:v>
                </c:pt>
                <c:pt idx="3">
                  <c:v>0.125</c:v>
                </c:pt>
                <c:pt idx="4">
                  <c:v>6.25E-2</c:v>
                </c:pt>
                <c:pt idx="5">
                  <c:v>3.125E-2</c:v>
                </c:pt>
              </c:numCache>
            </c:numRef>
          </c:xVal>
          <c:yVal>
            <c:numRef>
              <c:f>Sheet1!$R$4:$W$4</c:f>
              <c:numCache>
                <c:formatCode>General</c:formatCode>
                <c:ptCount val="6"/>
                <c:pt idx="0">
                  <c:v>2.9893881333333816E-3</c:v>
                </c:pt>
                <c:pt idx="1">
                  <c:v>2.8152740000009224E-4</c:v>
                </c:pt>
                <c:pt idx="2">
                  <c:v>1.007493000000359E-4</c:v>
                </c:pt>
                <c:pt idx="3">
                  <c:v>2.8036100000017328E-5</c:v>
                </c:pt>
                <c:pt idx="4">
                  <c:v>5.9422000000530772E-6</c:v>
                </c:pt>
                <c:pt idx="5">
                  <c:v>9.9999999999999995E-7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D3-40AE-84C5-52BD88FEF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1097343"/>
        <c:axId val="1738970895"/>
      </c:scatterChart>
      <c:valAx>
        <c:axId val="162109734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970895"/>
        <c:crosses val="autoZero"/>
        <c:crossBetween val="midCat"/>
      </c:valAx>
      <c:valAx>
        <c:axId val="17389708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Absolute</a:t>
                </a:r>
                <a:r>
                  <a:rPr lang="en-US" baseline="0"/>
                  <a:t> Error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097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335280</xdr:colOff>
      <xdr:row>6</xdr:row>
      <xdr:rowOff>103822</xdr:rowOff>
    </xdr:from>
    <xdr:to>
      <xdr:col>21</xdr:col>
      <xdr:colOff>495300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77F5F2-24A9-CFC1-349D-37CEDA6C7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1"/>
  <sheetViews>
    <sheetView tabSelected="1" topLeftCell="C1" workbookViewId="0">
      <selection activeCell="R4" sqref="R4"/>
    </sheetView>
  </sheetViews>
  <sheetFormatPr defaultRowHeight="15" x14ac:dyDescent="0.25"/>
  <cols>
    <col min="5" max="5" width="13" bestFit="1" customWidth="1"/>
    <col min="8" max="8" width="15.42578125" customWidth="1"/>
    <col min="9" max="10" width="14.140625" customWidth="1"/>
    <col min="11" max="11" width="13.5703125" customWidth="1"/>
    <col min="12" max="12" width="16" customWidth="1"/>
    <col min="13" max="13" width="14.85546875" customWidth="1"/>
    <col min="14" max="14" width="11" bestFit="1" customWidth="1"/>
    <col min="18" max="18" width="11" bestFit="1" customWidth="1"/>
  </cols>
  <sheetData>
    <row r="1" spans="1:27" x14ac:dyDescent="0.25">
      <c r="R1" t="s">
        <v>33</v>
      </c>
      <c r="Z1" s="1" t="s">
        <v>45</v>
      </c>
      <c r="AA1" s="1" t="s">
        <v>46</v>
      </c>
    </row>
    <row r="2" spans="1:27" ht="15.75" thickBot="1" x14ac:dyDescent="0.3">
      <c r="Q2" t="s">
        <v>45</v>
      </c>
      <c r="R2">
        <v>1</v>
      </c>
      <c r="S2">
        <v>2</v>
      </c>
      <c r="T2">
        <v>4</v>
      </c>
      <c r="U2">
        <v>8</v>
      </c>
      <c r="V2">
        <v>16</v>
      </c>
      <c r="W2">
        <v>32</v>
      </c>
      <c r="Z2" s="1">
        <v>4</v>
      </c>
      <c r="AA2" s="1">
        <f>LOG((I11-H11)/(J11-I11))/LOG(2)</f>
        <v>3.9038060392315286</v>
      </c>
    </row>
    <row r="3" spans="1:27" ht="15.75" thickBot="1" x14ac:dyDescent="0.3">
      <c r="A3" t="s">
        <v>0</v>
      </c>
      <c r="C3" t="str" cm="1">
        <f t="array" ref="C3:E3">_xlfn.TEXTSPLIT(A3, " ")</f>
        <v>h</v>
      </c>
      <c r="D3" t="str">
        <v>Nsn</v>
      </c>
      <c r="E3" t="str">
        <v>keff</v>
      </c>
      <c r="G3" s="1"/>
      <c r="H3" s="1" t="s">
        <v>28</v>
      </c>
      <c r="I3" s="1" t="s">
        <v>25</v>
      </c>
      <c r="J3" s="1" t="s">
        <v>26</v>
      </c>
      <c r="K3" s="1" t="s">
        <v>27</v>
      </c>
      <c r="L3" s="1" t="s">
        <v>38</v>
      </c>
      <c r="M3" s="2" t="s">
        <v>64</v>
      </c>
      <c r="N3" s="3" t="s">
        <v>67</v>
      </c>
      <c r="Q3" t="s">
        <v>66</v>
      </c>
      <c r="R3">
        <f>1/R2</f>
        <v>1</v>
      </c>
      <c r="S3">
        <f t="shared" ref="S3:W3" si="0">1/S2</f>
        <v>0.5</v>
      </c>
      <c r="T3">
        <f t="shared" si="0"/>
        <v>0.25</v>
      </c>
      <c r="U3">
        <f t="shared" si="0"/>
        <v>0.125</v>
      </c>
      <c r="V3">
        <f t="shared" si="0"/>
        <v>6.25E-2</v>
      </c>
      <c r="W3">
        <f t="shared" si="0"/>
        <v>3.125E-2</v>
      </c>
      <c r="Z3" s="1">
        <v>8</v>
      </c>
      <c r="AA3" s="1">
        <f>LOG((J11-I11)/(K11-J11))/LOG(2)</f>
        <v>1.3139307230842017</v>
      </c>
    </row>
    <row r="4" spans="1:27" ht="15.75" thickBot="1" x14ac:dyDescent="0.3">
      <c r="A4" t="s">
        <v>1</v>
      </c>
      <c r="C4" cm="1">
        <f t="array" ref="C4:E4">_xlfn.NUMBERVALUE(_xlfn.TEXTSPLIT(A4," "),".",",")</f>
        <v>1</v>
      </c>
      <c r="D4">
        <v>2</v>
      </c>
      <c r="E4" s="6">
        <v>1.0893563827999999</v>
      </c>
      <c r="G4" s="1" t="s">
        <v>29</v>
      </c>
      <c r="H4" s="7">
        <f>E4</f>
        <v>1.0893563827999999</v>
      </c>
      <c r="I4" s="7">
        <f>E12</f>
        <v>1.0921065104000001</v>
      </c>
      <c r="J4" s="7">
        <f>E20</f>
        <v>1.0920387224999999</v>
      </c>
      <c r="K4" s="7">
        <f>E28</f>
        <v>1.0920153937999999</v>
      </c>
      <c r="L4" s="7">
        <f>E36</f>
        <v>1.0920076549</v>
      </c>
      <c r="M4" s="8">
        <f>E44</f>
        <v>1.0920055108</v>
      </c>
      <c r="N4" s="4">
        <f>M11+(M11-L11)/(2^2-1)</f>
        <v>1.0872526834333334</v>
      </c>
      <c r="Q4" t="s">
        <v>65</v>
      </c>
      <c r="R4">
        <f>ABS(H11-$N$4)</f>
        <v>2.9893881333333816E-3</v>
      </c>
      <c r="S4">
        <f>ABS(I11-$M$11)</f>
        <v>2.8152740000009224E-4</v>
      </c>
      <c r="T4">
        <f>ABS(J11-$M$11)</f>
        <v>1.007493000000359E-4</v>
      </c>
      <c r="U4">
        <f>ABS(K11-$M$11)</f>
        <v>2.8036100000017328E-5</v>
      </c>
      <c r="V4">
        <f>ABS(L11-$M$11)</f>
        <v>5.9422000000530772E-6</v>
      </c>
      <c r="W4">
        <v>9.9999999999999995E-7</v>
      </c>
      <c r="Z4" s="1">
        <v>16</v>
      </c>
      <c r="AA4" s="1">
        <f>LOG((K11-J11)/(L11-K11))/LOG(2)</f>
        <v>1.7185691830433938</v>
      </c>
    </row>
    <row r="5" spans="1:27" x14ac:dyDescent="0.25">
      <c r="A5" t="s">
        <v>2</v>
      </c>
      <c r="C5" cm="1">
        <f t="array" ref="C5:E5">_xlfn.NUMBERVALUE(_xlfn.TEXTSPLIT(A5," "),".",",")</f>
        <v>1</v>
      </c>
      <c r="D5">
        <v>4</v>
      </c>
      <c r="E5">
        <v>1.0845195089999999</v>
      </c>
      <c r="G5" s="1" t="s">
        <v>34</v>
      </c>
      <c r="H5" s="7">
        <f t="shared" ref="H5:H11" si="1">E5</f>
        <v>1.0845195089999999</v>
      </c>
      <c r="I5" s="7">
        <f t="shared" ref="I5:I11" si="2">E13</f>
        <v>1.0870389637</v>
      </c>
      <c r="J5" s="7">
        <f t="shared" ref="J5:J11" si="3">E21</f>
        <v>1.0873422671999999</v>
      </c>
      <c r="K5" s="7">
        <f t="shared" ref="K5:K11" si="4">E29</f>
        <v>1.087467918</v>
      </c>
      <c r="L5" s="7">
        <f t="shared" ref="L5:L11" si="5">E37</f>
        <v>1.0874925226000001</v>
      </c>
      <c r="M5" s="7">
        <f t="shared" ref="M5:M11" si="6">E45</f>
        <v>1.0874981952</v>
      </c>
      <c r="Z5" s="1">
        <v>32</v>
      </c>
      <c r="AA5" s="1">
        <f>LOG((L11-K11)/(M11-L11))/LOG(2)</f>
        <v>1.8945790359819299</v>
      </c>
    </row>
    <row r="6" spans="1:27" x14ac:dyDescent="0.25">
      <c r="A6" t="s">
        <v>3</v>
      </c>
      <c r="C6" cm="1">
        <f t="array" ref="C6:E6">_xlfn.NUMBERVALUE(_xlfn.TEXTSPLIT(A6," "),".",",")</f>
        <v>1</v>
      </c>
      <c r="D6">
        <v>6</v>
      </c>
      <c r="E6">
        <v>1.0842402419999999</v>
      </c>
      <c r="G6" s="1" t="s">
        <v>30</v>
      </c>
      <c r="H6" s="7">
        <f>E6</f>
        <v>1.0842402419999999</v>
      </c>
      <c r="I6" s="7">
        <f t="shared" si="2"/>
        <v>1.0870318548</v>
      </c>
      <c r="J6" s="7">
        <f t="shared" si="3"/>
        <v>1.0872231080999999</v>
      </c>
      <c r="K6" s="7">
        <f t="shared" si="4"/>
        <v>1.0873356855</v>
      </c>
      <c r="L6" s="7">
        <f t="shared" si="5"/>
        <v>1.0873553970000001</v>
      </c>
      <c r="M6" s="7">
        <f t="shared" si="6"/>
        <v>1.0873606527999999</v>
      </c>
    </row>
    <row r="7" spans="1:27" x14ac:dyDescent="0.25">
      <c r="A7" t="s">
        <v>4</v>
      </c>
      <c r="C7" cm="1">
        <f t="array" ref="C7:E7">_xlfn.NUMBERVALUE(_xlfn.TEXTSPLIT(A7," "),".",",")</f>
        <v>1</v>
      </c>
      <c r="D7">
        <v>8</v>
      </c>
      <c r="E7">
        <v>1.0842178561</v>
      </c>
      <c r="G7" s="1" t="s">
        <v>31</v>
      </c>
      <c r="H7" s="7">
        <f t="shared" si="1"/>
        <v>1.0842178561</v>
      </c>
      <c r="I7" s="7">
        <f t="shared" si="2"/>
        <v>1.0870555502000001</v>
      </c>
      <c r="J7" s="7">
        <f t="shared" si="3"/>
        <v>1.0871978139</v>
      </c>
      <c r="K7" s="7">
        <f t="shared" si="4"/>
        <v>1.0872848352</v>
      </c>
      <c r="L7" s="7">
        <f t="shared" si="5"/>
        <v>1.0873078722</v>
      </c>
      <c r="M7" s="7">
        <f t="shared" si="6"/>
        <v>1.0873135679000001</v>
      </c>
    </row>
    <row r="8" spans="1:27" x14ac:dyDescent="0.25">
      <c r="A8" t="s">
        <v>39</v>
      </c>
      <c r="C8" cm="1">
        <f t="array" ref="C8:E8">_xlfn.NUMBERVALUE(_xlfn.TEXTSPLIT(A8," "),".",",")</f>
        <v>1</v>
      </c>
      <c r="D8">
        <v>10</v>
      </c>
      <c r="E8">
        <v>1.0842429328000001</v>
      </c>
      <c r="G8" s="1" t="s">
        <v>35</v>
      </c>
      <c r="H8" s="7">
        <f t="shared" si="1"/>
        <v>1.0842429328000001</v>
      </c>
      <c r="I8" s="7">
        <f t="shared" si="2"/>
        <v>1.0870339958999999</v>
      </c>
      <c r="J8" s="7">
        <f t="shared" si="3"/>
        <v>1.0871785208</v>
      </c>
      <c r="K8" s="7">
        <f t="shared" si="4"/>
        <v>1.087254774</v>
      </c>
      <c r="L8" s="7">
        <f t="shared" si="5"/>
        <v>1.0872791286000001</v>
      </c>
      <c r="M8" s="7">
        <f t="shared" si="6"/>
        <v>1.0872846746</v>
      </c>
    </row>
    <row r="9" spans="1:27" x14ac:dyDescent="0.25">
      <c r="A9" t="s">
        <v>5</v>
      </c>
      <c r="C9" cm="1">
        <f t="array" ref="C9:E9">_xlfn.NUMBERVALUE(_xlfn.TEXTSPLIT(A9," "),".",",")</f>
        <v>1</v>
      </c>
      <c r="D9">
        <v>12</v>
      </c>
      <c r="E9">
        <v>1.0842472581</v>
      </c>
      <c r="G9" s="1" t="s">
        <v>32</v>
      </c>
      <c r="H9" s="7">
        <f t="shared" si="1"/>
        <v>1.0842472581</v>
      </c>
      <c r="I9" s="7">
        <f t="shared" si="2"/>
        <v>1.0870075337</v>
      </c>
      <c r="J9" s="7">
        <f t="shared" si="3"/>
        <v>1.0871651749</v>
      </c>
      <c r="K9" s="7">
        <f t="shared" si="4"/>
        <v>1.0872373016000001</v>
      </c>
      <c r="L9" s="7">
        <f t="shared" si="5"/>
        <v>1.0872609724</v>
      </c>
      <c r="M9" s="7">
        <f t="shared" si="6"/>
        <v>1.0872665309</v>
      </c>
    </row>
    <row r="10" spans="1:27" x14ac:dyDescent="0.25">
      <c r="A10" t="s">
        <v>40</v>
      </c>
      <c r="C10" cm="1">
        <f t="array" ref="C10:E10">_xlfn.NUMBERVALUE(_xlfn.TEXTSPLIT(A10," "),".",",")</f>
        <v>1</v>
      </c>
      <c r="D10">
        <v>14</v>
      </c>
      <c r="E10">
        <v>1.084260757</v>
      </c>
      <c r="G10" s="1" t="s">
        <v>36</v>
      </c>
      <c r="H10" s="7">
        <f t="shared" si="1"/>
        <v>1.084260757</v>
      </c>
      <c r="I10" s="7">
        <f t="shared" si="2"/>
        <v>1.0869859442000001</v>
      </c>
      <c r="J10" s="7">
        <f t="shared" si="3"/>
        <v>1.0871565375000001</v>
      </c>
      <c r="K10" s="7">
        <f t="shared" si="4"/>
        <v>1.0872283250000001</v>
      </c>
      <c r="L10" s="7">
        <f t="shared" si="5"/>
        <v>1.0872508596999999</v>
      </c>
      <c r="M10" s="7">
        <f t="shared" si="6"/>
        <v>1.0872566666000001</v>
      </c>
    </row>
    <row r="11" spans="1:27" x14ac:dyDescent="0.25">
      <c r="A11" t="s">
        <v>6</v>
      </c>
      <c r="C11" cm="1">
        <f t="array" ref="C11:E11">_xlfn.NUMBERVALUE(_xlfn.TEXTSPLIT(A11," "),".",",")</f>
        <v>1</v>
      </c>
      <c r="D11">
        <v>16</v>
      </c>
      <c r="E11">
        <v>1.0842632953</v>
      </c>
      <c r="G11" s="1" t="s">
        <v>33</v>
      </c>
      <c r="H11" s="7">
        <f t="shared" si="1"/>
        <v>1.0842632953</v>
      </c>
      <c r="I11" s="7">
        <f t="shared" si="2"/>
        <v>1.0869691752999999</v>
      </c>
      <c r="J11" s="7">
        <f t="shared" si="3"/>
        <v>1.0871499534</v>
      </c>
      <c r="K11" s="7">
        <f t="shared" si="4"/>
        <v>1.0872226666</v>
      </c>
      <c r="L11" s="7">
        <f t="shared" si="5"/>
        <v>1.0872447605</v>
      </c>
      <c r="M11" s="7">
        <f t="shared" si="6"/>
        <v>1.0872507027</v>
      </c>
    </row>
    <row r="12" spans="1:27" x14ac:dyDescent="0.25">
      <c r="A12" t="s">
        <v>7</v>
      </c>
      <c r="C12" cm="1">
        <f t="array" ref="C12:E12">_xlfn.NUMBERVALUE(_xlfn.TEXTSPLIT(A12," "),".",",")</f>
        <v>2</v>
      </c>
      <c r="D12">
        <v>2</v>
      </c>
      <c r="E12">
        <v>1.0921065104000001</v>
      </c>
    </row>
    <row r="13" spans="1:27" x14ac:dyDescent="0.25">
      <c r="A13" t="s">
        <v>8</v>
      </c>
      <c r="C13" cm="1">
        <f t="array" ref="C13:E13">_xlfn.NUMBERVALUE(_xlfn.TEXTSPLIT(A13," "),".",",")</f>
        <v>2</v>
      </c>
      <c r="D13">
        <v>4</v>
      </c>
      <c r="E13">
        <v>1.0870389637</v>
      </c>
    </row>
    <row r="14" spans="1:27" x14ac:dyDescent="0.25">
      <c r="A14" t="s">
        <v>9</v>
      </c>
      <c r="C14" cm="1">
        <f t="array" ref="C14:E14">_xlfn.NUMBERVALUE(_xlfn.TEXTSPLIT(A14," "),".",",")</f>
        <v>2</v>
      </c>
      <c r="D14">
        <v>6</v>
      </c>
      <c r="E14">
        <v>1.0870318548</v>
      </c>
      <c r="G14" s="1"/>
      <c r="H14" s="1" t="s">
        <v>28</v>
      </c>
      <c r="I14" s="1" t="s">
        <v>25</v>
      </c>
      <c r="J14" s="1" t="s">
        <v>26</v>
      </c>
      <c r="K14" s="1" t="s">
        <v>27</v>
      </c>
      <c r="L14" s="1" t="s">
        <v>38</v>
      </c>
      <c r="M14" s="1" t="s">
        <v>64</v>
      </c>
    </row>
    <row r="15" spans="1:27" x14ac:dyDescent="0.25">
      <c r="A15" t="s">
        <v>10</v>
      </c>
      <c r="C15" cm="1">
        <f t="array" ref="C15:E15">_xlfn.NUMBERVALUE(_xlfn.TEXTSPLIT(A15," "),".",",")</f>
        <v>2</v>
      </c>
      <c r="D15">
        <v>8</v>
      </c>
      <c r="E15">
        <v>1.0870555502000001</v>
      </c>
      <c r="G15" s="1" t="s">
        <v>29</v>
      </c>
      <c r="H15" s="1">
        <f>ABS((H4-$N$4)*100000)</f>
        <v>210.3699366666545</v>
      </c>
      <c r="I15" s="1">
        <f t="shared" ref="I15:M15" si="7">ABS((I4-$N$4)*100000)</f>
        <v>485.38269666666969</v>
      </c>
      <c r="J15" s="1">
        <f t="shared" si="7"/>
        <v>478.60390666665251</v>
      </c>
      <c r="K15" s="1">
        <f t="shared" si="7"/>
        <v>476.2710366666534</v>
      </c>
      <c r="L15" s="1">
        <f t="shared" si="7"/>
        <v>475.49714666665909</v>
      </c>
      <c r="M15" s="1">
        <f t="shared" si="7"/>
        <v>475.28273666666007</v>
      </c>
    </row>
    <row r="16" spans="1:27" x14ac:dyDescent="0.25">
      <c r="A16" t="s">
        <v>41</v>
      </c>
      <c r="C16" cm="1">
        <f t="array" ref="C16:E16">_xlfn.NUMBERVALUE(_xlfn.TEXTSPLIT(A16," "),".",",")</f>
        <v>2</v>
      </c>
      <c r="D16">
        <v>10</v>
      </c>
      <c r="E16">
        <v>1.0870339958999999</v>
      </c>
      <c r="G16" s="1" t="s">
        <v>34</v>
      </c>
      <c r="H16" s="1">
        <f t="shared" ref="H16:M22" si="8">ABS((H5-$N$4)*100000)</f>
        <v>273.31744333334296</v>
      </c>
      <c r="I16" s="1">
        <f t="shared" si="8"/>
        <v>21.371973333339511</v>
      </c>
      <c r="J16" s="1">
        <f t="shared" si="8"/>
        <v>8.9583766666567755</v>
      </c>
      <c r="K16" s="1">
        <f t="shared" si="8"/>
        <v>21.523456666661112</v>
      </c>
      <c r="L16" s="1">
        <f t="shared" si="8"/>
        <v>23.983916666669991</v>
      </c>
      <c r="M16" s="1">
        <f t="shared" si="8"/>
        <v>24.551176666665064</v>
      </c>
    </row>
    <row r="17" spans="1:13" x14ac:dyDescent="0.25">
      <c r="A17" t="s">
        <v>11</v>
      </c>
      <c r="C17" cm="1">
        <f t="array" ref="C17:E17">_xlfn.NUMBERVALUE(_xlfn.TEXTSPLIT(A17," "),".",",")</f>
        <v>2</v>
      </c>
      <c r="D17">
        <v>12</v>
      </c>
      <c r="E17">
        <v>1.0870075337</v>
      </c>
      <c r="G17" s="1" t="s">
        <v>30</v>
      </c>
      <c r="H17" s="1">
        <f t="shared" si="8"/>
        <v>301.24414333334573</v>
      </c>
      <c r="I17" s="1">
        <f t="shared" si="8"/>
        <v>22.082863333339198</v>
      </c>
      <c r="J17" s="1">
        <f t="shared" si="8"/>
        <v>2.9575333333475839</v>
      </c>
      <c r="K17" s="1">
        <f t="shared" si="8"/>
        <v>8.3002066666670871</v>
      </c>
      <c r="L17" s="1">
        <f t="shared" si="8"/>
        <v>10.271356666669007</v>
      </c>
      <c r="M17" s="1">
        <f t="shared" si="8"/>
        <v>10.796936666657153</v>
      </c>
    </row>
    <row r="18" spans="1:13" x14ac:dyDescent="0.25">
      <c r="A18" t="s">
        <v>42</v>
      </c>
      <c r="C18" cm="1">
        <f t="array" ref="C18:E18">_xlfn.NUMBERVALUE(_xlfn.TEXTSPLIT(A18," "),".",",")</f>
        <v>2</v>
      </c>
      <c r="D18">
        <v>14</v>
      </c>
      <c r="E18">
        <v>1.0869859442000001</v>
      </c>
      <c r="G18" s="1" t="s">
        <v>31</v>
      </c>
      <c r="H18" s="1">
        <f t="shared" si="8"/>
        <v>303.48273333333788</v>
      </c>
      <c r="I18" s="1">
        <f t="shared" si="8"/>
        <v>19.713323333325761</v>
      </c>
      <c r="J18" s="1">
        <f t="shared" si="8"/>
        <v>5.4869533333334886</v>
      </c>
      <c r="K18" s="1">
        <f t="shared" si="8"/>
        <v>3.2151766666599357</v>
      </c>
      <c r="L18" s="1">
        <f t="shared" si="8"/>
        <v>5.5188766666658395</v>
      </c>
      <c r="M18" s="1">
        <f t="shared" si="8"/>
        <v>6.0884466666744075</v>
      </c>
    </row>
    <row r="19" spans="1:13" x14ac:dyDescent="0.25">
      <c r="A19" t="s">
        <v>12</v>
      </c>
      <c r="C19" cm="1">
        <f t="array" ref="C19:E19">_xlfn.NUMBERVALUE(_xlfn.TEXTSPLIT(A19," "),".",",")</f>
        <v>2</v>
      </c>
      <c r="D19">
        <v>16</v>
      </c>
      <c r="E19">
        <v>1.0869691752999999</v>
      </c>
      <c r="G19" s="1" t="s">
        <v>35</v>
      </c>
      <c r="H19" s="1">
        <f t="shared" si="8"/>
        <v>300.97506333333081</v>
      </c>
      <c r="I19" s="1">
        <f t="shared" si="8"/>
        <v>21.868753333342816</v>
      </c>
      <c r="J19" s="1">
        <f t="shared" si="8"/>
        <v>7.4162633333374472</v>
      </c>
      <c r="K19" s="1">
        <f t="shared" si="8"/>
        <v>0.2090566666668181</v>
      </c>
      <c r="L19" s="1">
        <f t="shared" si="8"/>
        <v>2.6445166666722031</v>
      </c>
      <c r="M19" s="1">
        <f t="shared" si="8"/>
        <v>3.199116666663393</v>
      </c>
    </row>
    <row r="20" spans="1:13" x14ac:dyDescent="0.25">
      <c r="A20" t="s">
        <v>13</v>
      </c>
      <c r="C20" cm="1">
        <f t="array" ref="C20:E20">_xlfn.NUMBERVALUE(_xlfn.TEXTSPLIT(A20," "),".",",")</f>
        <v>4</v>
      </c>
      <c r="D20">
        <v>2</v>
      </c>
      <c r="E20">
        <v>1.0920387224999999</v>
      </c>
      <c r="G20" s="1" t="s">
        <v>32</v>
      </c>
      <c r="H20" s="1">
        <f t="shared" si="8"/>
        <v>300.54253333333668</v>
      </c>
      <c r="I20" s="1">
        <f t="shared" si="8"/>
        <v>24.514973333333856</v>
      </c>
      <c r="J20" s="1">
        <f t="shared" si="8"/>
        <v>8.750853333339137</v>
      </c>
      <c r="K20" s="1">
        <f t="shared" si="8"/>
        <v>1.5381833333272255</v>
      </c>
      <c r="L20" s="1">
        <f t="shared" si="8"/>
        <v>0.82889666666030593</v>
      </c>
      <c r="M20" s="1">
        <f t="shared" si="8"/>
        <v>1.3847466666661035</v>
      </c>
    </row>
    <row r="21" spans="1:13" x14ac:dyDescent="0.25">
      <c r="A21" t="s">
        <v>14</v>
      </c>
      <c r="C21" cm="1">
        <f t="array" ref="C21:E21">_xlfn.NUMBERVALUE(_xlfn.TEXTSPLIT(A21," "),".",",")</f>
        <v>4</v>
      </c>
      <c r="D21">
        <v>4</v>
      </c>
      <c r="E21">
        <v>1.0873422671999999</v>
      </c>
      <c r="G21" s="1" t="s">
        <v>36</v>
      </c>
      <c r="H21" s="1">
        <f t="shared" si="8"/>
        <v>299.19264333333473</v>
      </c>
      <c r="I21" s="1">
        <f t="shared" si="8"/>
        <v>26.673923333331295</v>
      </c>
      <c r="J21" s="1">
        <f t="shared" si="8"/>
        <v>9.6145933333291467</v>
      </c>
      <c r="K21" s="1">
        <f t="shared" si="8"/>
        <v>2.4358433333260265</v>
      </c>
      <c r="L21" s="1">
        <f t="shared" si="8"/>
        <v>0.18237333334614192</v>
      </c>
      <c r="M21" s="1">
        <f t="shared" si="8"/>
        <v>0.39831666667211607</v>
      </c>
    </row>
    <row r="22" spans="1:13" x14ac:dyDescent="0.25">
      <c r="A22" t="s">
        <v>15</v>
      </c>
      <c r="C22" cm="1">
        <f t="array" ref="C22:E22">_xlfn.NUMBERVALUE(_xlfn.TEXTSPLIT(A22," "),".",",")</f>
        <v>4</v>
      </c>
      <c r="D22">
        <v>6</v>
      </c>
      <c r="E22">
        <v>1.0872231080999999</v>
      </c>
      <c r="G22" s="1" t="s">
        <v>33</v>
      </c>
      <c r="H22" s="1">
        <f t="shared" si="8"/>
        <v>298.93881333333815</v>
      </c>
      <c r="I22" s="1">
        <f t="shared" si="8"/>
        <v>28.350813333344327</v>
      </c>
      <c r="J22" s="1">
        <f t="shared" si="8"/>
        <v>10.273003333338693</v>
      </c>
      <c r="K22" s="1">
        <f t="shared" si="8"/>
        <v>3.0016833333368353</v>
      </c>
      <c r="L22" s="1">
        <f t="shared" si="8"/>
        <v>0.7922933333404103</v>
      </c>
      <c r="M22" s="1">
        <f t="shared" si="8"/>
        <v>0.19807333333510257</v>
      </c>
    </row>
    <row r="23" spans="1:13" x14ac:dyDescent="0.25">
      <c r="A23" t="s">
        <v>16</v>
      </c>
      <c r="C23" cm="1">
        <f t="array" ref="C23:E23">_xlfn.NUMBERVALUE(_xlfn.TEXTSPLIT(A23," "),".",",")</f>
        <v>4</v>
      </c>
      <c r="D23">
        <v>8</v>
      </c>
      <c r="E23">
        <v>1.0871978139</v>
      </c>
    </row>
    <row r="24" spans="1:13" x14ac:dyDescent="0.25">
      <c r="A24" t="s">
        <v>43</v>
      </c>
      <c r="C24" cm="1">
        <f t="array" ref="C24:E24">_xlfn.NUMBERVALUE(_xlfn.TEXTSPLIT(A24," "),".",",")</f>
        <v>4</v>
      </c>
      <c r="D24">
        <v>10</v>
      </c>
      <c r="E24">
        <v>1.0871785208</v>
      </c>
    </row>
    <row r="25" spans="1:13" x14ac:dyDescent="0.25">
      <c r="A25" t="s">
        <v>17</v>
      </c>
      <c r="C25" cm="1">
        <f t="array" ref="C25:E25">_xlfn.NUMBERVALUE(_xlfn.TEXTSPLIT(A25," "),".",",")</f>
        <v>4</v>
      </c>
      <c r="D25">
        <v>12</v>
      </c>
      <c r="E25">
        <v>1.0871651749</v>
      </c>
    </row>
    <row r="26" spans="1:13" x14ac:dyDescent="0.25">
      <c r="A26" t="s">
        <v>44</v>
      </c>
      <c r="C26" cm="1">
        <f t="array" ref="C26:E26">_xlfn.NUMBERVALUE(_xlfn.TEXTSPLIT(A26," "),".",",")</f>
        <v>4</v>
      </c>
      <c r="D26">
        <v>14</v>
      </c>
      <c r="E26">
        <v>1.0871565375000001</v>
      </c>
    </row>
    <row r="27" spans="1:13" x14ac:dyDescent="0.25">
      <c r="A27" t="s">
        <v>18</v>
      </c>
      <c r="C27" cm="1">
        <f t="array" ref="C27:E27">_xlfn.NUMBERVALUE(_xlfn.TEXTSPLIT(A27," "),".",",")</f>
        <v>4</v>
      </c>
      <c r="D27">
        <v>16</v>
      </c>
      <c r="E27">
        <v>1.0871499534</v>
      </c>
    </row>
    <row r="28" spans="1:13" x14ac:dyDescent="0.25">
      <c r="A28" t="s">
        <v>19</v>
      </c>
      <c r="C28" cm="1">
        <f t="array" ref="C28:E28">_xlfn.NUMBERVALUE(_xlfn.TEXTSPLIT(A28," "),".",",")</f>
        <v>8</v>
      </c>
      <c r="D28">
        <v>2</v>
      </c>
      <c r="E28">
        <v>1.0920153937999999</v>
      </c>
    </row>
    <row r="29" spans="1:13" x14ac:dyDescent="0.25">
      <c r="A29" t="s">
        <v>20</v>
      </c>
      <c r="C29" cm="1">
        <f t="array" ref="C29:E29">_xlfn.NUMBERVALUE(_xlfn.TEXTSPLIT(A29," "),".",",")</f>
        <v>8</v>
      </c>
      <c r="D29">
        <v>4</v>
      </c>
      <c r="E29">
        <v>1.087467918</v>
      </c>
    </row>
    <row r="30" spans="1:13" x14ac:dyDescent="0.25">
      <c r="A30" t="s">
        <v>21</v>
      </c>
      <c r="C30" cm="1">
        <f t="array" ref="C30:E30">_xlfn.NUMBERVALUE(_xlfn.TEXTSPLIT(A30," "),".",",")</f>
        <v>8</v>
      </c>
      <c r="D30">
        <v>6</v>
      </c>
      <c r="E30">
        <v>1.0873356855</v>
      </c>
    </row>
    <row r="31" spans="1:13" x14ac:dyDescent="0.25">
      <c r="A31" t="s">
        <v>22</v>
      </c>
      <c r="C31" cm="1">
        <f t="array" ref="C31:E31">_xlfn.NUMBERVALUE(_xlfn.TEXTSPLIT(A31," "),".",",")</f>
        <v>8</v>
      </c>
      <c r="D31">
        <v>8</v>
      </c>
      <c r="E31">
        <v>1.0872848352</v>
      </c>
      <c r="J31" s="5"/>
    </row>
    <row r="32" spans="1:13" x14ac:dyDescent="0.25">
      <c r="A32" t="s">
        <v>47</v>
      </c>
      <c r="C32" cm="1">
        <f t="array" ref="C32:E32">_xlfn.NUMBERVALUE(_xlfn.TEXTSPLIT(A32," "),".",",")</f>
        <v>8</v>
      </c>
      <c r="D32">
        <v>10</v>
      </c>
      <c r="E32">
        <v>1.087254774</v>
      </c>
    </row>
    <row r="33" spans="1:5" x14ac:dyDescent="0.25">
      <c r="A33" t="s">
        <v>23</v>
      </c>
      <c r="C33" cm="1">
        <f t="array" ref="C33:E33">_xlfn.NUMBERVALUE(_xlfn.TEXTSPLIT(A33," "),".",",")</f>
        <v>8</v>
      </c>
      <c r="D33">
        <v>12</v>
      </c>
      <c r="E33">
        <v>1.0872373016000001</v>
      </c>
    </row>
    <row r="34" spans="1:5" x14ac:dyDescent="0.25">
      <c r="A34" t="s">
        <v>48</v>
      </c>
      <c r="C34" cm="1">
        <f t="array" ref="C34:E34">_xlfn.NUMBERVALUE(_xlfn.TEXTSPLIT(A34," "),".",",")</f>
        <v>8</v>
      </c>
      <c r="D34">
        <v>14</v>
      </c>
      <c r="E34">
        <v>1.0872283250000001</v>
      </c>
    </row>
    <row r="35" spans="1:5" x14ac:dyDescent="0.25">
      <c r="A35" t="s">
        <v>24</v>
      </c>
      <c r="C35" cm="1">
        <f t="array" ref="C35:E35">_xlfn.NUMBERVALUE(_xlfn.TEXTSPLIT(A35," "),".",",")</f>
        <v>8</v>
      </c>
      <c r="D35">
        <v>16</v>
      </c>
      <c r="E35">
        <v>1.0872226666</v>
      </c>
    </row>
    <row r="36" spans="1:5" x14ac:dyDescent="0.25">
      <c r="A36" t="s">
        <v>49</v>
      </c>
      <c r="C36" cm="1">
        <f t="array" ref="C36:E36">_xlfn.NUMBERVALUE(_xlfn.TEXTSPLIT(A36," "),".",",")</f>
        <v>16</v>
      </c>
      <c r="D36">
        <v>2</v>
      </c>
      <c r="E36">
        <v>1.0920076549</v>
      </c>
    </row>
    <row r="37" spans="1:5" x14ac:dyDescent="0.25">
      <c r="A37" t="s">
        <v>50</v>
      </c>
      <c r="C37" cm="1">
        <f t="array" ref="C37:E37">_xlfn.NUMBERVALUE(_xlfn.TEXTSPLIT(A37," "),".",",")</f>
        <v>16</v>
      </c>
      <c r="D37">
        <v>4</v>
      </c>
      <c r="E37">
        <v>1.0874925226000001</v>
      </c>
    </row>
    <row r="38" spans="1:5" x14ac:dyDescent="0.25">
      <c r="A38" t="s">
        <v>51</v>
      </c>
      <c r="C38" cm="1">
        <f t="array" ref="C38:E38">_xlfn.NUMBERVALUE(_xlfn.TEXTSPLIT(A38," "),".",",")</f>
        <v>16</v>
      </c>
      <c r="D38">
        <v>6</v>
      </c>
      <c r="E38">
        <v>1.0873553970000001</v>
      </c>
    </row>
    <row r="39" spans="1:5" x14ac:dyDescent="0.25">
      <c r="A39" t="s">
        <v>37</v>
      </c>
      <c r="C39" cm="1">
        <f t="array" ref="C39:E39">_xlfn.NUMBERVALUE(_xlfn.TEXTSPLIT(A39," "),".",",")</f>
        <v>16</v>
      </c>
      <c r="D39">
        <v>8</v>
      </c>
      <c r="E39">
        <v>1.0873078722</v>
      </c>
    </row>
    <row r="40" spans="1:5" x14ac:dyDescent="0.25">
      <c r="A40" t="s">
        <v>52</v>
      </c>
      <c r="C40" cm="1">
        <f t="array" ref="C40:E40">_xlfn.NUMBERVALUE(_xlfn.TEXTSPLIT(A40," "),".",",")</f>
        <v>16</v>
      </c>
      <c r="D40">
        <v>10</v>
      </c>
      <c r="E40">
        <v>1.0872791286000001</v>
      </c>
    </row>
    <row r="41" spans="1:5" x14ac:dyDescent="0.25">
      <c r="A41" t="s">
        <v>53</v>
      </c>
      <c r="C41" cm="1">
        <f t="array" ref="C41:E41">_xlfn.NUMBERVALUE(_xlfn.TEXTSPLIT(A41," "),".",",")</f>
        <v>16</v>
      </c>
      <c r="D41">
        <v>12</v>
      </c>
      <c r="E41">
        <v>1.0872609724</v>
      </c>
    </row>
    <row r="42" spans="1:5" x14ac:dyDescent="0.25">
      <c r="A42" t="s">
        <v>54</v>
      </c>
      <c r="C42" cm="1">
        <f t="array" ref="C42:E42">_xlfn.NUMBERVALUE(_xlfn.TEXTSPLIT(A42," "),".",",")</f>
        <v>16</v>
      </c>
      <c r="D42">
        <v>14</v>
      </c>
      <c r="E42">
        <v>1.0872508596999999</v>
      </c>
    </row>
    <row r="43" spans="1:5" x14ac:dyDescent="0.25">
      <c r="A43" t="s">
        <v>55</v>
      </c>
      <c r="C43" cm="1">
        <f t="array" ref="C43:E43">_xlfn.NUMBERVALUE(_xlfn.TEXTSPLIT(A43," "),".",",")</f>
        <v>16</v>
      </c>
      <c r="D43">
        <v>16</v>
      </c>
      <c r="E43">
        <v>1.0872447605</v>
      </c>
    </row>
    <row r="44" spans="1:5" x14ac:dyDescent="0.25">
      <c r="A44" t="s">
        <v>56</v>
      </c>
      <c r="C44" cm="1">
        <f t="array" ref="C44:E44">_xlfn.NUMBERVALUE(_xlfn.TEXTSPLIT(A44," "),".",",")</f>
        <v>32</v>
      </c>
      <c r="D44">
        <v>2</v>
      </c>
      <c r="E44">
        <v>1.0920055108</v>
      </c>
    </row>
    <row r="45" spans="1:5" x14ac:dyDescent="0.25">
      <c r="A45" t="s">
        <v>57</v>
      </c>
      <c r="C45" cm="1">
        <f t="array" ref="C45:E45">_xlfn.NUMBERVALUE(_xlfn.TEXTSPLIT(A45," "),".",",")</f>
        <v>32</v>
      </c>
      <c r="D45">
        <v>4</v>
      </c>
      <c r="E45">
        <v>1.0874981952</v>
      </c>
    </row>
    <row r="46" spans="1:5" x14ac:dyDescent="0.25">
      <c r="A46" t="s">
        <v>58</v>
      </c>
      <c r="C46" cm="1">
        <f t="array" ref="C46:E46">_xlfn.NUMBERVALUE(_xlfn.TEXTSPLIT(A46," "),".",",")</f>
        <v>32</v>
      </c>
      <c r="D46">
        <v>6</v>
      </c>
      <c r="E46">
        <v>1.0873606527999999</v>
      </c>
    </row>
    <row r="47" spans="1:5" x14ac:dyDescent="0.25">
      <c r="A47" t="s">
        <v>59</v>
      </c>
      <c r="C47" cm="1">
        <f t="array" ref="C47:E47">_xlfn.NUMBERVALUE(_xlfn.TEXTSPLIT(A47," "),".",",")</f>
        <v>32</v>
      </c>
      <c r="D47">
        <v>8</v>
      </c>
      <c r="E47">
        <v>1.0873135679000001</v>
      </c>
    </row>
    <row r="48" spans="1:5" x14ac:dyDescent="0.25">
      <c r="A48" t="s">
        <v>60</v>
      </c>
      <c r="C48" cm="1">
        <f t="array" ref="C48:E48">_xlfn.NUMBERVALUE(_xlfn.TEXTSPLIT(A48," "),".",",")</f>
        <v>32</v>
      </c>
      <c r="D48">
        <v>10</v>
      </c>
      <c r="E48">
        <v>1.0872846746</v>
      </c>
    </row>
    <row r="49" spans="1:5" x14ac:dyDescent="0.25">
      <c r="A49" t="s">
        <v>61</v>
      </c>
      <c r="C49" cm="1">
        <f t="array" ref="C49:E49">_xlfn.NUMBERVALUE(_xlfn.TEXTSPLIT(A49," "),".",",")</f>
        <v>32</v>
      </c>
      <c r="D49">
        <v>12</v>
      </c>
      <c r="E49">
        <v>1.0872665309</v>
      </c>
    </row>
    <row r="50" spans="1:5" x14ac:dyDescent="0.25">
      <c r="A50" t="s">
        <v>62</v>
      </c>
      <c r="C50" cm="1">
        <f t="array" ref="C50:E50">_xlfn.NUMBERVALUE(_xlfn.TEXTSPLIT(A50," "),".",",")</f>
        <v>32</v>
      </c>
      <c r="D50">
        <v>14</v>
      </c>
      <c r="E50">
        <v>1.0872566666000001</v>
      </c>
    </row>
    <row r="51" spans="1:5" x14ac:dyDescent="0.25">
      <c r="A51" t="s">
        <v>63</v>
      </c>
      <c r="C51" cm="1">
        <f t="array" ref="C51:E51">_xlfn.NUMBERVALUE(_xlfn.TEXTSPLIT(A51," "),".",",")</f>
        <v>32</v>
      </c>
      <c r="D51">
        <v>16</v>
      </c>
      <c r="E51">
        <v>1.0872507027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</dc:creator>
  <cp:lastModifiedBy>Kirill Antonovich Polokhalo</cp:lastModifiedBy>
  <dcterms:created xsi:type="dcterms:W3CDTF">2015-06-05T18:17:20Z</dcterms:created>
  <dcterms:modified xsi:type="dcterms:W3CDTF">2026-10-11T13:58:22Z</dcterms:modified>
</cp:coreProperties>
</file>